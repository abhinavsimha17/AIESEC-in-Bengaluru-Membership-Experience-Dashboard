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" sheetId="3" state="visible" r:id="rId5"/>
    <sheet name="Abo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<sst xmlns="http://schemas.openxmlformats.org/spreadsheetml/2006/main" count="160" uniqueCount="124">
  <si>
    <t xml:space="preserve">Membership Experience Dashboard</t>
  </si>
  <si>
    <t xml:space="preserve">AIESEC in Bengaluru  ·  Membership Experience Survey  ·  April 2024</t>
  </si>
  <si>
    <t xml:space="preserve">Show role:</t>
  </si>
  <si>
    <t xml:space="preserve">Overall</t>
  </si>
  <si>
    <t xml:space="preserve">◀ pick a role to update the cards and the two charts below</t>
  </si>
  <si>
    <t xml:space="preserve">RESPONSES</t>
  </si>
  <si>
    <t xml:space="preserve">JOB DESIGN</t>
  </si>
  <si>
    <t xml:space="preserve">WELLBEING</t>
  </si>
  <si>
    <t xml:space="preserve">COMMUNITY</t>
  </si>
  <si>
    <t xml:space="preserve">TEAM PRACTICES</t>
  </si>
  <si>
    <t xml:space="preserve">NPS (ALL)</t>
  </si>
  <si>
    <t xml:space="preserve">members surveyed</t>
  </si>
  <si>
    <t xml:space="preserve">clarity &amp; support</t>
  </si>
  <si>
    <t xml:space="preserve">workplace &amp; wellbeing</t>
  </si>
  <si>
    <t xml:space="preserve">community engagement</t>
  </si>
  <si>
    <t xml:space="preserve">building to development</t>
  </si>
  <si>
    <t xml:space="preserve">promoters minus detractors</t>
  </si>
  <si>
    <t xml:space="preserve">EXPERIENCE BY ROLE  (changes with the dropdown)</t>
  </si>
  <si>
    <t xml:space="preserve">HEATMAP: EXPERIENCE SCORE BY ROLE</t>
  </si>
  <si>
    <t xml:space="preserve">KEY INSIGHTS</t>
  </si>
  <si>
    <t xml:space="preserve">Area</t>
  </si>
  <si>
    <t xml:space="preserve">Team Members</t>
  </si>
  <si>
    <t xml:space="preserve">Team Leaders</t>
  </si>
  <si>
    <t xml:space="preserve">Vice-Presidents</t>
  </si>
  <si>
    <t xml:space="preserve">1. Members would recommend AIESEC: NPS of +39, with 52 of 99 scoring 9 or 10.</t>
  </si>
  <si>
    <t xml:space="preserve">Job Design &amp; Support</t>
  </si>
  <si>
    <t xml:space="preserve">2. The leadership pipeline is at risk: 36% are unsure about applying. Most interest is in Team Leader roles (35).</t>
  </si>
  <si>
    <t xml:space="preserve">Workplace &amp; Wellbeing</t>
  </si>
  <si>
    <t xml:space="preserve">3. VPs are satisfied but under-supported. Their team development and performance scores (6.6 and 6.9) are the lowest in the survey.</t>
  </si>
  <si>
    <t xml:space="preserve">Community Engagement</t>
  </si>
  <si>
    <t xml:space="preserve">4. People stay for community (33%) and soft skills (30%), so invest in bonding spaces and skills workshops.</t>
  </si>
  <si>
    <t xml:space="preserve">Team Practices</t>
  </si>
  <si>
    <t xml:space="preserve">Red = weakest, green = strongest. VPs rate Team Practices lowest (75%), driven by Development (6.6/10) and Performance (6.9/10).</t>
  </si>
  <si>
    <t xml:space="preserve">LEADERSHIP PIPELINE &amp; MOTIVATION  (all respondents)</t>
  </si>
  <si>
    <t xml:space="preserve">RECOMMENDATION &amp; MEMBERSHIP MIX</t>
  </si>
  <si>
    <t xml:space="preserve">Data rebuilt from the original April 2024 report slides. See the About tab for method and notes.</t>
  </si>
  <si>
    <t xml:space="preserve">Source data: AIESEC in Bengaluru, Membership Experience Survey, April 2024</t>
  </si>
  <si>
    <t xml:space="preserve">Blue numbers are typed in from the original report slides. Black numbers are formulas.</t>
  </si>
  <si>
    <t xml:space="preserve">1. Respondents by role</t>
  </si>
  <si>
    <t xml:space="preserve">Role</t>
  </si>
  <si>
    <t xml:space="preserve">Responses</t>
  </si>
  <si>
    <t xml:space="preserve">2. Respondents by portfolio</t>
  </si>
  <si>
    <t xml:space="preserve">Portfolio</t>
  </si>
  <si>
    <t xml:space="preserve">Outgoing Global Volunteer</t>
  </si>
  <si>
    <t xml:space="preserve">Business Development</t>
  </si>
  <si>
    <t xml:space="preserve">Incoming Global Volunteer</t>
  </si>
  <si>
    <t xml:space="preserve">Outgoing Global Talent</t>
  </si>
  <si>
    <t xml:space="preserve">Incoming Global Teacher</t>
  </si>
  <si>
    <t xml:space="preserve">Marketing</t>
  </si>
  <si>
    <t xml:space="preserve">Incoming Global Talent</t>
  </si>
  <si>
    <t xml:space="preserve">Finance &amp; Legal</t>
  </si>
  <si>
    <t xml:space="preserve">3. Will you apply for a higher role?</t>
  </si>
  <si>
    <t xml:space="preserve">Answer</t>
  </si>
  <si>
    <t xml:space="preserve">Share</t>
  </si>
  <si>
    <t xml:space="preserve">Applying</t>
  </si>
  <si>
    <t xml:space="preserve">Not sure</t>
  </si>
  <si>
    <t xml:space="preserve">Not applying</t>
  </si>
  <si>
    <t xml:space="preserve">4. Which leadership role interests you most?</t>
  </si>
  <si>
    <t xml:space="preserve">Role of interest</t>
  </si>
  <si>
    <t xml:space="preserve">Team Leader</t>
  </si>
  <si>
    <t xml:space="preserve">Vice-President</t>
  </si>
  <si>
    <t xml:space="preserve">LC President</t>
  </si>
  <si>
    <t xml:space="preserve">AIESEC International</t>
  </si>
  <si>
    <t xml:space="preserve">Managers</t>
  </si>
  <si>
    <t xml:space="preserve">GST</t>
  </si>
  <si>
    <t xml:space="preserve">NST / EST</t>
  </si>
  <si>
    <t xml:space="preserve">OC-CC</t>
  </si>
  <si>
    <t xml:space="preserve">5. Top reason for staying in AIESEC</t>
  </si>
  <si>
    <t xml:space="preserve">Motivator</t>
  </si>
  <si>
    <t xml:space="preserve">Community &amp; people</t>
  </si>
  <si>
    <t xml:space="preserve">Soft skills development</t>
  </si>
  <si>
    <t xml:space="preserve">Professional development</t>
  </si>
  <si>
    <t xml:space="preserve">Connection to the organisation</t>
  </si>
  <si>
    <t xml:space="preserve">Connection to the local entity</t>
  </si>
  <si>
    <t xml:space="preserve">Counts rebuilt from the slide's percentages (e.g. 33.3% of 99 = 33).</t>
  </si>
  <si>
    <t xml:space="preserve">6. How likely are you to recommend AIESEC as a leadership platform? (1-10)</t>
  </si>
  <si>
    <t xml:space="preserve">Score</t>
  </si>
  <si>
    <t xml:space="preserve">Group</t>
  </si>
  <si>
    <t xml:space="preserve">7. Experience score by role (% of maximum possible score)</t>
  </si>
  <si>
    <t xml:space="preserve">8. Team practices: average score out of 10</t>
  </si>
  <si>
    <t xml:space="preserve">Practice</t>
  </si>
  <si>
    <t xml:space="preserve">Team Building</t>
  </si>
  <si>
    <t xml:space="preserve">Team Engagement</t>
  </si>
  <si>
    <t xml:space="preserve">Team Performance</t>
  </si>
  <si>
    <t xml:space="preserve">Team Development</t>
  </si>
  <si>
    <t xml:space="preserve">Team Members' bars had no labels on the slide; the standard order (Building, Engagement, Performance, Development) is assumed.</t>
  </si>
  <si>
    <t xml:space="preserve">9. Individual scores recovered from the Team Leader and VP pie charts (1-10)</t>
  </si>
  <si>
    <t xml:space="preserve">Each slice on those slides was one person's score, so the answers can be read back.</t>
  </si>
  <si>
    <t xml:space="preserve">Role | Area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</si>
  <si>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</si>
  <si>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</si>
  <si>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</si>
  <si>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</si>
  <si>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</si>
  <si>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</si>
  <si>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</si>
  <si>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</si>
  <si>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</si>
  <si>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Score %</t>
  </si>
  <si>
    <t xml:space="preserve">Team Leaders | Job Design &amp; Support</t>
  </si>
  <si>
    <t xml:space="preserve">Team Leaders | Workplace &amp; Wellbeing</t>
  </si>
  <si>
    <t xml:space="preserve">Team Leaders | Community Engagement</t>
  </si>
  <si>
    <t xml:space="preserve">Vice-Presidents | Job Design &amp; Support</t>
  </si>
  <si>
    <t xml:space="preserve">Vice-Presidents | Workplace &amp; Wellbeing</t>
  </si>
  <si>
    <t xml:space="preserve">Vice-Presidents | Community Engagement</t>
  </si>
  <si>
    <t xml:space="preserve">Note: the charts show 9 Team Leader answers, while the role slide counted 8 Team Leaders.</t>
  </si>
  <si>
    <t xml:space="preserve">Helper ranges for the dashboard charts (driven by the role dropdown). No need to edit.</t>
  </si>
  <si>
    <t xml:space="preserve">Selected role</t>
  </si>
  <si>
    <t xml:space="preserve">Avg score</t>
  </si>
  <si>
    <t xml:space="preserve">About this dashboard</t>
  </si>
  <si>
    <t xml:space="preserve">A one-page dashboard of the AIESEC in Bengaluru Membership Experience Survey (April 2024, 99 responses).</t>
  </si>
  <si>
    <t xml:space="preserve">How to use</t>
  </si>
  <si>
    <t xml:space="preserve">Pick a role in the dropdown at the top of the Dashboard tab. The KPI cards and the first two charts update automatically.</t>
  </si>
  <si>
    <t xml:space="preserve">How the data was rebuilt</t>
  </si>
  <si>
    <t xml:space="preserve">The raw form responses were no longer available, so every figure was rebuilt from the original report slides.</t>
  </si>
  <si>
    <t xml:space="preserve">• Counts (roles, portfolios, leadership intent, roles of interest, recommendation scores) were copied directly from the slides.</t>
  </si>
  <si>
    <t xml:space="preserve">• Team Leader and VP scores were recovered answer by answer. Each pie slice on those slides was one person's score,</t>
  </si>
  <si>
    <t xml:space="preserve">  and the recovered totals match the headline percentages on the slides (for example, VP Job Design 82/90 = 91.1%).</t>
  </si>
  <si>
    <t xml:space="preserve">• Team Member and Overall scores use the headline percentages from the slides. Their pie charts plotted the score values</t>
  </si>
  <si>
    <t xml:space="preserve">  themselves rather than how many people gave each score, so the distributions can't be recovered.</t>
  </si>
  <si>
    <t xml:space="preserve">Corrections to the original report</t>
  </si>
  <si>
    <t xml:space="preserve">• The Team Leader wellbeing score was printed as 9.11%. The recovered answers give 91.1%.</t>
  </si>
  <si>
    <t xml:space="preserve">• The recommendation score is also reported as an NPS (+39) alongside the 8.21 average, because NPS is the standard measure.</t>
  </si>
  <si>
    <t xml:space="preserve">Built with: Google Sheets / Excel formulas (INDEX-MATCH, SUMIF, SUMPRODUCT), data validation, conditional formatting.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</si>
</sst>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\+0;\-0"/>
    <numFmt numFmtId="168" formatCode="0.0%"/>
    <numFmt numFmtId="169" formatCode="0.0"/>
    <numFmt numFmtId="170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DCEBFD"/>
      <name val="Arial"/>
      <family val="0"/>
      <charset val="1"/>
    </font>
    <font>
      <b val="true"/>
      <sz val="10"/>
      <color rgb="FF0B2545"/>
      <name val="Arial"/>
      <family val="0"/>
      <charset val="1"/>
    </font>
    <font>
      <b val="true"/>
      <sz val="11"/>
      <color rgb="FF037EF3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8"/>
      <color rgb="FF6B7280"/>
      <name val="Arial"/>
      <family val="0"/>
      <charset val="1"/>
    </font>
    <font>
      <b val="true"/>
      <sz val="24"/>
      <color rgb="FF0B2545"/>
      <name val="Arial"/>
      <family val="0"/>
      <charset val="1"/>
    </font>
    <font>
      <sz val="8"/>
      <color rgb="FF6B728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0B2545"/>
      <name val="Arial"/>
      <family val="0"/>
      <charset val="1"/>
    </font>
    <font>
      <b val="true"/>
      <sz val="11"/>
      <color rgb="FF0B25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4"/>
      <color rgb="FF0B254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37EF3"/>
        <bgColor rgb="FF008080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0B2545"/>
        <bgColor rgb="FF1F2937"/>
      </patternFill>
    </fill>
    <fill>
      <patternFill patternType="solid">
        <fgColor rgb="FFEAF3FE"/>
        <bgColor rgb="FFF7F9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037EF3"/>
      </left>
      <right style="thin">
        <color rgb="FF037EF3"/>
      </right>
      <top style="thin">
        <color rgb="FF037EF3"/>
      </top>
      <bottom style="thin">
        <color rgb="FF037EF3"/>
      </bottom>
      <diagonal/>
    </border>
    <border diagonalUp="false" diagonalDown="false">
      <left/>
      <right/>
      <top style="thick">
        <color rgb="FF037EF3"/>
      </top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9FC"/>
      <rgbColor rgb="FFDCEBFD"/>
      <rgbColor rgb="FF660066"/>
      <rgbColor rgb="FFFF8080"/>
      <rgbColor rgb="FF037EF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E"/>
      <rgbColor rgb="FFD9E2EC"/>
      <rgbColor rgb="FFFFFF99"/>
      <rgbColor rgb="FF99CCFF"/>
      <rgbColor rgb="FFFF99CC"/>
      <rgbColor rgb="FFCC99FF"/>
      <rgbColor rgb="FFFFCC99"/>
      <rgbColor rgb="FF6366F1"/>
      <rgbColor rgb="FF14B8A6"/>
      <rgbColor rgb="FF99CC00"/>
      <rgbColor rgb="FFFFCC00"/>
      <rgbColor rgb="FFFF9900"/>
      <rgbColor rgb="FFFF6600"/>
      <rgbColor rgb="FF6B7280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Experience score by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37ef3"/>
            </a:solidFill>
            <a:ln w="9360">
              <a:solidFill>
                <a:srgbClr val="037ef3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Calc!$A$6:$A$9</c:f>
              <c:strCache>
                <c:ptCount val="4"/>
                <c:pt idx="0">
                  <c:v>Job Design &amp; Support</c:v>
                </c:pt>
                <c:pt idx="1">
                  <c:v>Workplace &amp; Wellbeing</c:v>
                </c:pt>
                <c:pt idx="2">
                  <c:v>Community Engagement</c:v>
                </c:pt>
                <c:pt idx="3">
                  <c:v>Team Practices</c:v>
                </c:pt>
              </c:strCache>
            </c:strRef>
          </c:cat>
          <c:val>
            <c:numRef>
              <c:f>Calc!$B$6:$B$9</c:f>
              <c:numCache>
                <c:formatCode>0%</c:formatCode>
                <c:ptCount val="4"/>
                <c:pt idx="0">
                  <c:v>0.821</c:v>
                </c:pt>
                <c:pt idx="1">
                  <c:v>0.908</c:v>
                </c:pt>
                <c:pt idx="2">
                  <c:v>0.856</c:v>
                </c:pt>
                <c:pt idx="3">
                  <c:v>0.843925</c:v>
                </c:pt>
              </c:numCache>
            </c:numRef>
          </c:val>
        </c:ser>
        <c:gapWidth val="60"/>
        <c:overlap val="0"/>
        <c:axId val="25152216"/>
        <c:axId val="37896918"/>
      </c:barChart>
      <c:catAx>
        <c:axId val="2515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96918"/>
        <c:crosses val="autoZero"/>
        <c:auto val="1"/>
        <c:lblAlgn val="ctr"/>
        <c:lblOffset val="100"/>
        <c:noMultiLvlLbl val="0"/>
      </c:catAx>
      <c:valAx>
        <c:axId val="3789691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5221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Team practices (avg out of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4b8a6"/>
            </a:solidFill>
            <a:ln w="9360">
              <a:solidFill>
                <a:srgbClr val="14b8a6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Calc!$A$12:$A$15</c:f>
              <c:strCache>
                <c:ptCount val="4"/>
                <c:pt idx="0">
                  <c:v>Team Building</c:v>
                </c:pt>
                <c:pt idx="1">
                  <c:v>Team Engagement</c:v>
                </c:pt>
                <c:pt idx="2">
                  <c:v>Team Performance</c:v>
                </c:pt>
                <c:pt idx="3">
                  <c:v>Team Development</c:v>
                </c:pt>
              </c:strCache>
            </c:strRef>
          </c:cat>
          <c:val>
            <c:numRef>
              <c:f>Calc!$B$12:$B$15</c:f>
              <c:numCache>
                <c:formatCode>0.0</c:formatCode>
                <c:ptCount val="4"/>
                <c:pt idx="0">
                  <c:v>8.606</c:v>
                </c:pt>
                <c:pt idx="1">
                  <c:v>8.394</c:v>
                </c:pt>
                <c:pt idx="2">
                  <c:v>8.414</c:v>
                </c:pt>
                <c:pt idx="3">
                  <c:v>8.343</c:v>
                </c:pt>
              </c:numCache>
            </c:numRef>
          </c:val>
        </c:ser>
        <c:gapWidth val="60"/>
        <c:overlap val="0"/>
        <c:axId val="64558064"/>
        <c:axId val="69002327"/>
      </c:barChart>
      <c:catAx>
        <c:axId val="6455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02327"/>
        <c:crosses val="autoZero"/>
        <c:auto val="1"/>
        <c:lblAlgn val="ctr"/>
        <c:lblOffset val="100"/>
        <c:noMultiLvlLbl val="0"/>
      </c:catAx>
      <c:valAx>
        <c:axId val="69002327"/>
        <c:scaling>
          <c:orientation val="minMax"/>
          <c:max val="10"/>
          <c:min val="0"/>
        </c:scaling>
        <c:delete val="1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5806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Will you apply for a higher role?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37ef3"/>
            </a:solidFill>
            <a:ln w="9360">
              <a:solidFill>
                <a:srgbClr val="037ef3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Data!$A$25:$A$27</c:f>
              <c:strCache>
                <c:ptCount val="3"/>
                <c:pt idx="0">
                  <c:v>Applying</c:v>
                </c:pt>
                <c:pt idx="1">
                  <c:v>Not sure</c:v>
                </c:pt>
                <c:pt idx="2">
                  <c:v>Not applying</c:v>
                </c:pt>
              </c:strCache>
            </c:strRef>
          </c:cat>
          <c:val>
            <c:numRef>
              <c:f>Data!$B$25:$B$27</c:f>
              <c:numCache>
                <c:formatCode>General</c:formatCode>
                <c:ptCount val="3"/>
                <c:pt idx="0">
                  <c:v>54</c:v>
                </c:pt>
                <c:pt idx="1">
                  <c:v>36</c:v>
                </c:pt>
                <c:pt idx="2">
                  <c:v>9</c:v>
                </c:pt>
              </c:numCache>
            </c:numRef>
          </c:val>
        </c:ser>
        <c:gapWidth val="60"/>
        <c:overlap val="0"/>
        <c:axId val="21284116"/>
        <c:axId val="63681787"/>
      </c:barChart>
      <c:catAx>
        <c:axId val="212841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81787"/>
        <c:crosses val="autoZero"/>
        <c:auto val="1"/>
        <c:lblAlgn val="ctr"/>
        <c:lblOffset val="100"/>
        <c:noMultiLvlLbl val="0"/>
      </c:catAx>
      <c:valAx>
        <c:axId val="636817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8411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Which role interests you most?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37ef3"/>
            </a:solidFill>
            <a:ln w="9360">
              <a:solidFill>
                <a:srgbClr val="037ef3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Data!$A$31:$A$39</c:f>
              <c:strCache>
                <c:ptCount val="9"/>
                <c:pt idx="0">
                  <c:v>Team Leader</c:v>
                </c:pt>
                <c:pt idx="1">
                  <c:v>Vice-President</c:v>
                </c:pt>
                <c:pt idx="2">
                  <c:v>LC President</c:v>
                </c:pt>
                <c:pt idx="3">
                  <c:v>AIESEC International</c:v>
                </c:pt>
                <c:pt idx="4">
                  <c:v>Managers</c:v>
                </c:pt>
                <c:pt idx="5">
                  <c:v>GST</c:v>
                </c:pt>
                <c:pt idx="6">
                  <c:v>NST / EST</c:v>
                </c:pt>
                <c:pt idx="7">
                  <c:v>OC-CC</c:v>
                </c:pt>
                <c:pt idx="8">
                  <c:v>Not applying</c:v>
                </c:pt>
              </c:strCache>
            </c:strRef>
          </c:cat>
          <c:val>
            <c:numRef>
              <c:f>Data!$B$31:$B$39</c:f>
              <c:numCache>
                <c:formatCode>General</c:formatCode>
                <c:ptCount val="9"/>
                <c:pt idx="0">
                  <c:v>35</c:v>
                </c:pt>
                <c:pt idx="1">
                  <c:v>14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15</c:v>
                </c:pt>
              </c:numCache>
            </c:numRef>
          </c:val>
        </c:ser>
        <c:gapWidth val="60"/>
        <c:overlap val="0"/>
        <c:axId val="6127501"/>
        <c:axId val="92786933"/>
      </c:barChart>
      <c:catAx>
        <c:axId val="612750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86933"/>
        <c:crosses val="autoZero"/>
        <c:auto val="1"/>
        <c:lblAlgn val="ctr"/>
        <c:lblOffset val="100"/>
        <c:noMultiLvlLbl val="0"/>
      </c:catAx>
      <c:valAx>
        <c:axId val="9278693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750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reason for staying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4b8a6"/>
            </a:solidFill>
            <a:ln w="9360">
              <a:solidFill>
                <a:srgbClr val="14b8a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Data!$A$43:$A$47</c:f>
              <c:strCache>
                <c:ptCount val="5"/>
                <c:pt idx="0">
                  <c:v>Community &amp; people</c:v>
                </c:pt>
                <c:pt idx="1">
                  <c:v>Soft skills development</c:v>
                </c:pt>
                <c:pt idx="2">
                  <c:v>Professional development</c:v>
                </c:pt>
                <c:pt idx="3">
                  <c:v>Connection to the organisation</c:v>
                </c:pt>
                <c:pt idx="4">
                  <c:v>Connection to the local entity</c:v>
                </c:pt>
              </c:strCache>
            </c:strRef>
          </c:cat>
          <c:val>
            <c:numRef>
              <c:f>Data!$B$43:$B$47</c:f>
              <c:numCache>
                <c:formatCode>General</c:formatCode>
                <c:ptCount val="5"/>
                <c:pt idx="0">
                  <c:v>33</c:v>
                </c:pt>
                <c:pt idx="1">
                  <c:v>30</c:v>
                </c:pt>
                <c:pt idx="2">
                  <c:v>22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</c:ser>
        <c:gapWidth val="60"/>
        <c:overlap val="0"/>
        <c:axId val="52994806"/>
        <c:axId val="65244510"/>
      </c:barChart>
      <c:catAx>
        <c:axId val="5299480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44510"/>
        <c:crosses val="autoZero"/>
        <c:auto val="1"/>
        <c:lblAlgn val="ctr"/>
        <c:lblOffset val="100"/>
        <c:noMultiLvlLbl val="0"/>
      </c:catAx>
      <c:valAx>
        <c:axId val="652445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9480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Recommend AIESEC as a leadership platform (1-10)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37ef3"/>
            </a:solidFill>
            <a:ln w="9360">
              <a:solidFill>
                <a:srgbClr val="037ef3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Data!$A$52:$A$61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Data!$B$52:$B$61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12</c:v>
                </c:pt>
                <c:pt idx="7">
                  <c:v>22</c:v>
                </c:pt>
                <c:pt idx="8">
                  <c:v>28</c:v>
                </c:pt>
                <c:pt idx="9">
                  <c:v>24</c:v>
                </c:pt>
              </c:numCache>
            </c:numRef>
          </c:val>
        </c:ser>
        <c:gapWidth val="30"/>
        <c:overlap val="0"/>
        <c:axId val="74662728"/>
        <c:axId val="24811068"/>
      </c:barChart>
      <c:catAx>
        <c:axId val="7466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11068"/>
        <c:crosses val="autoZero"/>
        <c:auto val="1"/>
        <c:lblAlgn val="ctr"/>
        <c:lblOffset val="100"/>
        <c:noMultiLvlLbl val="0"/>
      </c:catAx>
      <c:valAx>
        <c:axId val="248110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6272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Respondents by portfolio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6366f1"/>
            </a:solidFill>
            <a:ln w="9360">
              <a:solidFill>
                <a:srgbClr val="6366f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Data!$A$13:$A$20</c:f>
              <c:strCache>
                <c:ptCount val="8"/>
                <c:pt idx="0">
                  <c:v>Outgoing Global Volunteer</c:v>
                </c:pt>
                <c:pt idx="1">
                  <c:v>Business Development</c:v>
                </c:pt>
                <c:pt idx="2">
                  <c:v>Incoming Global Volunteer</c:v>
                </c:pt>
                <c:pt idx="3">
                  <c:v>Outgoing Global Talent</c:v>
                </c:pt>
                <c:pt idx="4">
                  <c:v>Incoming Global Teacher</c:v>
                </c:pt>
                <c:pt idx="5">
                  <c:v>Marketing</c:v>
                </c:pt>
                <c:pt idx="6">
                  <c:v>Incoming Global Talent</c:v>
                </c:pt>
                <c:pt idx="7">
                  <c:v>Finance &amp; Legal</c:v>
                </c:pt>
              </c:strCache>
            </c:strRef>
          </c:cat>
          <c:val>
            <c:numRef>
              <c:f>Data!$B$13:$B$20</c:f>
              <c:numCache>
                <c:formatCode>General</c:formatCode>
                <c:ptCount val="8"/>
                <c:pt idx="0">
                  <c:v>28</c:v>
                </c:pt>
                <c:pt idx="1">
                  <c:v>16</c:v>
                </c:pt>
                <c:pt idx="2">
                  <c:v>15</c:v>
                </c:pt>
                <c:pt idx="3">
                  <c:v>13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</c:ser>
        <c:gapWidth val="60"/>
        <c:overlap val="0"/>
        <c:axId val="49639021"/>
        <c:axId val="44213238"/>
      </c:barChart>
      <c:catAx>
        <c:axId val="496390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13238"/>
        <c:crosses val="autoZero"/>
        <c:auto val="1"/>
        <c:lblAlgn val="ctr"/>
        <c:lblOffset val="100"/>
        <c:noMultiLvlLbl val="0"/>
      </c:catAx>
      <c:valAx>
        <c:axId val="4421323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3902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7</xdr:col>
      <xdr:colOff>714240</xdr:colOff>
      <xdr:row>26</xdr:row>
      <xdr:rowOff>115200</xdr:rowOff>
    </xdr:to>
    <xdr:graphicFrame>
      <xdr:nvGraphicFramePr>
        <xdr:cNvPr id="0" name="Chart 1"/>
        <xdr:cNvGraphicFramePr/>
      </xdr:nvGraphicFramePr>
      <xdr:xfrm>
        <a:off x="176400" y="292428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15</xdr:col>
      <xdr:colOff>714240</xdr:colOff>
      <xdr:row>26</xdr:row>
      <xdr:rowOff>115200</xdr:rowOff>
    </xdr:to>
    <xdr:graphicFrame>
      <xdr:nvGraphicFramePr>
        <xdr:cNvPr id="1" name="Chart 2"/>
        <xdr:cNvGraphicFramePr/>
      </xdr:nvGraphicFramePr>
      <xdr:xfrm>
        <a:off x="6663600" y="292428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5</xdr:col>
      <xdr:colOff>536040</xdr:colOff>
      <xdr:row>51</xdr:row>
      <xdr:rowOff>114840</xdr:rowOff>
    </xdr:to>
    <xdr:graphicFrame>
      <xdr:nvGraphicFramePr>
        <xdr:cNvPr id="2" name="Chart 3"/>
        <xdr:cNvGraphicFramePr/>
      </xdr:nvGraphicFramePr>
      <xdr:xfrm>
        <a:off x="176400" y="8839080"/>
        <a:ext cx="37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38</xdr:row>
      <xdr:rowOff>0</xdr:rowOff>
    </xdr:from>
    <xdr:to>
      <xdr:col>10</xdr:col>
      <xdr:colOff>536040</xdr:colOff>
      <xdr:row>51</xdr:row>
      <xdr:rowOff>114840</xdr:rowOff>
    </xdr:to>
    <xdr:graphicFrame>
      <xdr:nvGraphicFramePr>
        <xdr:cNvPr id="3" name="Chart 4"/>
        <xdr:cNvGraphicFramePr/>
      </xdr:nvGraphicFramePr>
      <xdr:xfrm>
        <a:off x="4231080" y="8839080"/>
        <a:ext cx="37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0</xdr:colOff>
      <xdr:row>38</xdr:row>
      <xdr:rowOff>0</xdr:rowOff>
    </xdr:from>
    <xdr:to>
      <xdr:col>16</xdr:col>
      <xdr:colOff>716040</xdr:colOff>
      <xdr:row>51</xdr:row>
      <xdr:rowOff>114840</xdr:rowOff>
    </xdr:to>
    <xdr:graphicFrame>
      <xdr:nvGraphicFramePr>
        <xdr:cNvPr id="4" name="Chart 5"/>
        <xdr:cNvGraphicFramePr/>
      </xdr:nvGraphicFramePr>
      <xdr:xfrm>
        <a:off x="9096480" y="883908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714240</xdr:colOff>
      <xdr:row>68</xdr:row>
      <xdr:rowOff>115200</xdr:rowOff>
    </xdr:to>
    <xdr:graphicFrame>
      <xdr:nvGraphicFramePr>
        <xdr:cNvPr id="5" name="Chart 6"/>
        <xdr:cNvGraphicFramePr/>
      </xdr:nvGraphicFramePr>
      <xdr:xfrm>
        <a:off x="176400" y="1207764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55</xdr:row>
      <xdr:rowOff>0</xdr:rowOff>
    </xdr:from>
    <xdr:to>
      <xdr:col>15</xdr:col>
      <xdr:colOff>714240</xdr:colOff>
      <xdr:row>68</xdr:row>
      <xdr:rowOff>115200</xdr:rowOff>
    </xdr:to>
    <xdr:graphicFrame>
      <xdr:nvGraphicFramePr>
        <xdr:cNvPr id="6" name="Chart 7"/>
        <xdr:cNvGraphicFramePr/>
      </xdr:nvGraphicFramePr>
      <xdr:xfrm>
        <a:off x="6663600" y="1207764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19" min="2" style="0" width="11.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1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9.5" hidden="false" customHeight="tru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21.75" hidden="false" customHeight="true" outlineLevel="0" collapsed="false">
      <c r="A5" s="4"/>
      <c r="B5" s="5" t="s">
        <v>2</v>
      </c>
      <c r="C5" s="6" t="s">
        <v>3</v>
      </c>
      <c r="D5" s="6"/>
      <c r="E5" s="7" t="s">
        <v>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customFormat="false" ht="19.5" hidden="false" customHeight="true" outlineLevel="0" collapsed="false">
      <c r="A7" s="4"/>
      <c r="B7" s="8" t="s">
        <v>5</v>
      </c>
      <c r="C7" s="8"/>
      <c r="D7" s="4"/>
      <c r="E7" s="8" t="s">
        <v>6</v>
      </c>
      <c r="F7" s="8"/>
      <c r="G7" s="4"/>
      <c r="H7" s="8" t="s">
        <v>7</v>
      </c>
      <c r="I7" s="8"/>
      <c r="J7" s="4"/>
      <c r="K7" s="8" t="s">
        <v>8</v>
      </c>
      <c r="L7" s="8"/>
      <c r="M7" s="4"/>
      <c r="N7" s="8" t="s">
        <v>9</v>
      </c>
      <c r="O7" s="8"/>
      <c r="P7" s="4"/>
      <c r="Q7" s="8" t="s">
        <v>10</v>
      </c>
      <c r="R7" s="8"/>
      <c r="S7" s="4"/>
    </row>
    <row r="8" customFormat="false" ht="15" hidden="false" customHeight="false" outlineLevel="0" collapsed="false">
      <c r="A8" s="4"/>
      <c r="B8" s="9" t="n">
        <f aca="false">INDEX(Data!$B$6:$B$9,MATCH($C$5,Data!$A$6:$A$9,0))</f>
        <v>99</v>
      </c>
      <c r="C8" s="9"/>
      <c r="D8" s="4"/>
      <c r="E8" s="10" t="n">
        <f aca="false">INDEX(Data!$B$66:$E$66,MATCH($C$5,Data!$B$65:$E$65,0))</f>
        <v>0.821</v>
      </c>
      <c r="F8" s="10"/>
      <c r="G8" s="4"/>
      <c r="H8" s="10" t="n">
        <f aca="false">INDEX(Data!$B$67:$E$67,MATCH($C$5,Data!$B$65:$E$65,0))</f>
        <v>0.908</v>
      </c>
      <c r="I8" s="10"/>
      <c r="J8" s="4"/>
      <c r="K8" s="10" t="n">
        <f aca="false">INDEX(Data!$B$68:$E$68,MATCH($C$5,Data!$B$65:$E$65,0))</f>
        <v>0.856</v>
      </c>
      <c r="L8" s="10"/>
      <c r="M8" s="4"/>
      <c r="N8" s="10" t="n">
        <f aca="false">INDEX(Data!$B$69:$E$69,MATCH($C$5,Data!$B$65:$E$65,0))</f>
        <v>0.843925</v>
      </c>
      <c r="O8" s="10"/>
      <c r="P8" s="4"/>
      <c r="Q8" s="11" t="n">
        <f aca="false">(SUMIF(Data!$C$52:$C$61,"Promoter",Data!$B$52:$B$61)-SUMIF(Data!$C$52:$C$61,"Detractor",Data!$B$52:$B$61))/SUM(Data!$B$52:$B$61)*100</f>
        <v>39.3939393939394</v>
      </c>
      <c r="R8" s="11"/>
      <c r="S8" s="4"/>
    </row>
    <row r="9" customFormat="false" ht="15" hidden="false" customHeight="false" outlineLevel="0" collapsed="false">
      <c r="A9" s="4"/>
      <c r="B9" s="9"/>
      <c r="C9" s="9"/>
      <c r="D9" s="4"/>
      <c r="E9" s="10"/>
      <c r="F9" s="10"/>
      <c r="G9" s="4"/>
      <c r="H9" s="10"/>
      <c r="I9" s="10"/>
      <c r="J9" s="4"/>
      <c r="K9" s="10"/>
      <c r="L9" s="10"/>
      <c r="M9" s="4"/>
      <c r="N9" s="10"/>
      <c r="O9" s="10"/>
      <c r="P9" s="4"/>
      <c r="Q9" s="11"/>
      <c r="R9" s="11"/>
      <c r="S9" s="4"/>
    </row>
    <row r="10" customFormat="false" ht="18" hidden="false" customHeight="true" outlineLevel="0" collapsed="false">
      <c r="A10" s="4"/>
      <c r="B10" s="12" t="s">
        <v>11</v>
      </c>
      <c r="C10" s="12"/>
      <c r="D10" s="4"/>
      <c r="E10" s="12" t="s">
        <v>12</v>
      </c>
      <c r="F10" s="12"/>
      <c r="G10" s="4"/>
      <c r="H10" s="12" t="s">
        <v>13</v>
      </c>
      <c r="I10" s="12"/>
      <c r="J10" s="4"/>
      <c r="K10" s="12" t="s">
        <v>14</v>
      </c>
      <c r="L10" s="12"/>
      <c r="M10" s="4"/>
      <c r="N10" s="12" t="s">
        <v>15</v>
      </c>
      <c r="O10" s="12"/>
      <c r="P10" s="4"/>
      <c r="Q10" s="12" t="s">
        <v>16</v>
      </c>
      <c r="R10" s="12"/>
      <c r="S10" s="4"/>
    </row>
    <row r="11" customFormat="false" ht="15" hidden="false" customHeight="false" outlineLevel="0" collapsed="false">
      <c r="A11" s="4"/>
      <c r="B11" s="13" t="str">
        <f aca="false">"Average recommendation score: "&amp;TEXT(SUMPRODUCT(Data!$A$52:$A$61,Data!$B$52:$B$61)/SUM(Data!$B$52:$B$61),"0.00")&amp;" / 10"</f>
        <v>Average recommendation score: 8.21 / 10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customFormat="false" ht="15" hidden="false" customHeight="false" outlineLevel="0" collapsed="false">
      <c r="A13" s="4"/>
      <c r="B13" s="14" t="s">
        <v>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customFormat="false" ht="15" hidden="false" customHeight="false" outlineLevel="0" collapsed="false">
      <c r="A30" s="4"/>
      <c r="B30" s="14" t="s">
        <v>18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15" t="s">
        <v>19</v>
      </c>
      <c r="O30" s="15"/>
      <c r="P30" s="15"/>
      <c r="Q30" s="15"/>
      <c r="R30" s="15"/>
      <c r="S30" s="4"/>
    </row>
    <row r="31" customFormat="false" ht="36" hidden="false" customHeight="true" outlineLevel="0" collapsed="false">
      <c r="A31" s="4"/>
      <c r="B31" s="16" t="s">
        <v>20</v>
      </c>
      <c r="C31" s="16"/>
      <c r="D31" s="16"/>
      <c r="E31" s="16" t="s">
        <v>21</v>
      </c>
      <c r="F31" s="16"/>
      <c r="G31" s="16" t="s">
        <v>22</v>
      </c>
      <c r="H31" s="16"/>
      <c r="I31" s="16" t="s">
        <v>23</v>
      </c>
      <c r="J31" s="16"/>
      <c r="K31" s="16" t="s">
        <v>3</v>
      </c>
      <c r="L31" s="16"/>
      <c r="M31" s="4"/>
      <c r="N31" s="17" t="s">
        <v>24</v>
      </c>
      <c r="O31" s="17"/>
      <c r="P31" s="17"/>
      <c r="Q31" s="17"/>
      <c r="R31" s="17"/>
      <c r="S31" s="4"/>
    </row>
    <row r="32" customFormat="false" ht="36" hidden="false" customHeight="true" outlineLevel="0" collapsed="false">
      <c r="A32" s="4"/>
      <c r="B32" s="18" t="s">
        <v>25</v>
      </c>
      <c r="C32" s="18"/>
      <c r="D32" s="18"/>
      <c r="E32" s="19" t="n">
        <f aca="false">Data!B66</f>
        <v>0.821</v>
      </c>
      <c r="F32" s="19"/>
      <c r="G32" s="19" t="n">
        <f aca="false">Data!C66</f>
        <v>0.888888888888889</v>
      </c>
      <c r="H32" s="19"/>
      <c r="I32" s="19" t="n">
        <f aca="false">Data!D66</f>
        <v>0.911111111111111</v>
      </c>
      <c r="J32" s="19"/>
      <c r="K32" s="19" t="n">
        <f aca="false">Data!E66</f>
        <v>0.821</v>
      </c>
      <c r="L32" s="19"/>
      <c r="M32" s="4"/>
      <c r="N32" s="17" t="s">
        <v>26</v>
      </c>
      <c r="O32" s="17"/>
      <c r="P32" s="17"/>
      <c r="Q32" s="17"/>
      <c r="R32" s="17"/>
      <c r="S32" s="4"/>
    </row>
    <row r="33" customFormat="false" ht="36" hidden="false" customHeight="true" outlineLevel="0" collapsed="false">
      <c r="A33" s="4"/>
      <c r="B33" s="18" t="s">
        <v>27</v>
      </c>
      <c r="C33" s="18"/>
      <c r="D33" s="18"/>
      <c r="E33" s="19" t="n">
        <f aca="false">Data!B67</f>
        <v>0.825</v>
      </c>
      <c r="F33" s="19"/>
      <c r="G33" s="19" t="n">
        <f aca="false">Data!C67</f>
        <v>0.911111111111111</v>
      </c>
      <c r="H33" s="19"/>
      <c r="I33" s="19" t="n">
        <f aca="false">Data!D67</f>
        <v>0.922222222222222</v>
      </c>
      <c r="J33" s="19"/>
      <c r="K33" s="19" t="n">
        <f aca="false">Data!E67</f>
        <v>0.908</v>
      </c>
      <c r="L33" s="19"/>
      <c r="M33" s="4"/>
      <c r="N33" s="17" t="s">
        <v>28</v>
      </c>
      <c r="O33" s="17"/>
      <c r="P33" s="17"/>
      <c r="Q33" s="17"/>
      <c r="R33" s="17"/>
      <c r="S33" s="4"/>
    </row>
    <row r="34" customFormat="false" ht="36" hidden="false" customHeight="true" outlineLevel="0" collapsed="false">
      <c r="A34" s="4"/>
      <c r="B34" s="18" t="s">
        <v>29</v>
      </c>
      <c r="C34" s="18"/>
      <c r="D34" s="18"/>
      <c r="E34" s="19" t="n">
        <f aca="false">Data!B68</f>
        <v>0.858</v>
      </c>
      <c r="F34" s="19"/>
      <c r="G34" s="19" t="n">
        <f aca="false">Data!C68</f>
        <v>0.866666666666667</v>
      </c>
      <c r="H34" s="19"/>
      <c r="I34" s="19" t="n">
        <f aca="false">Data!D68</f>
        <v>0.866666666666667</v>
      </c>
      <c r="J34" s="19"/>
      <c r="K34" s="19" t="n">
        <f aca="false">Data!E68</f>
        <v>0.856</v>
      </c>
      <c r="L34" s="19"/>
      <c r="M34" s="4"/>
      <c r="N34" s="17" t="s">
        <v>30</v>
      </c>
      <c r="O34" s="17"/>
      <c r="P34" s="17"/>
      <c r="Q34" s="17"/>
      <c r="R34" s="17"/>
      <c r="S34" s="4"/>
    </row>
    <row r="35" customFormat="false" ht="21.75" hidden="false" customHeight="true" outlineLevel="0" collapsed="false">
      <c r="A35" s="4"/>
      <c r="B35" s="18" t="s">
        <v>31</v>
      </c>
      <c r="C35" s="18"/>
      <c r="D35" s="18"/>
      <c r="E35" s="19" t="n">
        <f aca="false">Data!B69</f>
        <v>0.851875</v>
      </c>
      <c r="F35" s="19"/>
      <c r="G35" s="19" t="n">
        <f aca="false">Data!C69</f>
        <v>0.8778</v>
      </c>
      <c r="H35" s="19"/>
      <c r="I35" s="19" t="n">
        <f aca="false">Data!D69</f>
        <v>0.752775</v>
      </c>
      <c r="J35" s="19"/>
      <c r="K35" s="19" t="n">
        <f aca="false">Data!E69</f>
        <v>0.843925</v>
      </c>
      <c r="L35" s="19"/>
      <c r="M35" s="4"/>
      <c r="N35" s="4"/>
      <c r="O35" s="4"/>
      <c r="P35" s="4"/>
      <c r="Q35" s="4"/>
      <c r="R35" s="4"/>
      <c r="S35" s="4"/>
    </row>
    <row r="36" customFormat="false" ht="15" hidden="false" customHeight="false" outlineLevel="0" collapsed="false">
      <c r="A36" s="4"/>
      <c r="B36" s="13" t="s">
        <v>32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5" hidden="false" customHeight="false" outlineLevel="0" collapsed="false">
      <c r="A38" s="4"/>
      <c r="B38" s="14" t="s">
        <v>33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Format="false" ht="15" hidden="false" customHeight="false" outlineLevel="0" collapsed="false">
      <c r="A55" s="4"/>
      <c r="B55" s="14" t="s">
        <v>34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customFormat="false" ht="15" hidden="false" customHeight="false" outlineLevel="0" collapsed="false">
      <c r="A72" s="4"/>
      <c r="B72" s="13" t="s">
        <v>35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</sheetData>
  <mergeCells count="49">
    <mergeCell ref="C5:D5"/>
    <mergeCell ref="B7:C7"/>
    <mergeCell ref="E7:F7"/>
    <mergeCell ref="H7:I7"/>
    <mergeCell ref="K7:L7"/>
    <mergeCell ref="N7:O7"/>
    <mergeCell ref="Q7:R7"/>
    <mergeCell ref="B8:C9"/>
    <mergeCell ref="E8:F9"/>
    <mergeCell ref="H8:I9"/>
    <mergeCell ref="K8:L9"/>
    <mergeCell ref="N8:O9"/>
    <mergeCell ref="Q8:R9"/>
    <mergeCell ref="B10:C10"/>
    <mergeCell ref="E10:F10"/>
    <mergeCell ref="H10:I10"/>
    <mergeCell ref="K10:L10"/>
    <mergeCell ref="N10:O10"/>
    <mergeCell ref="Q10:R10"/>
    <mergeCell ref="N30:R30"/>
    <mergeCell ref="B31:D31"/>
    <mergeCell ref="E31:F31"/>
    <mergeCell ref="G31:H31"/>
    <mergeCell ref="I31:J31"/>
    <mergeCell ref="K31:L31"/>
    <mergeCell ref="N31:R31"/>
    <mergeCell ref="B32:D32"/>
    <mergeCell ref="E32:F32"/>
    <mergeCell ref="G32:H32"/>
    <mergeCell ref="I32:J32"/>
    <mergeCell ref="K32:L32"/>
    <mergeCell ref="N32:R32"/>
    <mergeCell ref="B33:D33"/>
    <mergeCell ref="E33:F33"/>
    <mergeCell ref="G33:H33"/>
    <mergeCell ref="I33:J33"/>
    <mergeCell ref="K33:L33"/>
    <mergeCell ref="N33:R33"/>
    <mergeCell ref="B34:D34"/>
    <mergeCell ref="E34:F34"/>
    <mergeCell ref="G34:H34"/>
    <mergeCell ref="I34:J34"/>
    <mergeCell ref="K34:L34"/>
    <mergeCell ref="N34:R34"/>
    <mergeCell ref="B35:D35"/>
    <mergeCell ref="E35:F35"/>
    <mergeCell ref="G35:H35"/>
    <mergeCell ref="I35:J35"/>
    <mergeCell ref="K35:L35"/>
  </mergeCells>
  <conditionalFormatting sqref="E32:L35">
    <cfRule type="colorScale" priority="2">
      <colorScale>
        <cfvo type="num" val="0.75"/>
        <cfvo type="num" val="0.85"/>
        <cfvo type="num" val="0.93"/>
        <color rgb="FFFDE2E1"/>
        <color rgb="FFFFF7D6"/>
        <color rgb="FFC8F0D8"/>
      </colorScale>
    </cfRule>
  </conditionalFormatting>
  <dataValidations count="1">
    <dataValidation allowBlank="false" errorStyle="stop" operator="between" showDropDown="false" showErrorMessage="false" showInputMessage="false" sqref="C5" type="list">
      <formula1>"Overall,Team Members,Team Leaders,Vice-Presidents"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4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20" t="s">
        <v>36</v>
      </c>
    </row>
    <row r="2" customFormat="false" ht="15" hidden="false" customHeight="false" outlineLevel="0" collapsed="false">
      <c r="A2" s="21" t="s">
        <v>37</v>
      </c>
    </row>
    <row r="4" customFormat="false" ht="15" hidden="false" customHeight="false" outlineLevel="0" collapsed="false">
      <c r="A4" s="22" t="s">
        <v>38</v>
      </c>
    </row>
    <row r="5" customFormat="false" ht="30" hidden="false" customHeight="true" outlineLevel="0" collapsed="false">
      <c r="A5" s="23" t="s">
        <v>39</v>
      </c>
      <c r="B5" s="24" t="s">
        <v>40</v>
      </c>
    </row>
    <row r="6" customFormat="false" ht="15" hidden="false" customHeight="false" outlineLevel="0" collapsed="false">
      <c r="A6" s="25" t="s">
        <v>21</v>
      </c>
      <c r="B6" s="25" t="n">
        <v>82</v>
      </c>
    </row>
    <row r="7" customFormat="false" ht="15" hidden="false" customHeight="false" outlineLevel="0" collapsed="false">
      <c r="A7" s="25" t="s">
        <v>22</v>
      </c>
      <c r="B7" s="25" t="n">
        <v>8</v>
      </c>
    </row>
    <row r="8" customFormat="false" ht="15" hidden="false" customHeight="false" outlineLevel="0" collapsed="false">
      <c r="A8" s="25" t="s">
        <v>23</v>
      </c>
      <c r="B8" s="25" t="n">
        <v>9</v>
      </c>
    </row>
    <row r="9" customFormat="false" ht="15" hidden="false" customHeight="false" outlineLevel="0" collapsed="false">
      <c r="A9" s="26" t="s">
        <v>3</v>
      </c>
      <c r="B9" s="27" t="n">
        <f aca="false">SUM(B6:B8)</f>
        <v>99</v>
      </c>
    </row>
    <row r="11" customFormat="false" ht="15" hidden="false" customHeight="false" outlineLevel="0" collapsed="false">
      <c r="A11" s="22" t="s">
        <v>41</v>
      </c>
    </row>
    <row r="12" customFormat="false" ht="30" hidden="false" customHeight="true" outlineLevel="0" collapsed="false">
      <c r="A12" s="23" t="s">
        <v>42</v>
      </c>
      <c r="B12" s="24" t="s">
        <v>40</v>
      </c>
    </row>
    <row r="13" customFormat="false" ht="15" hidden="false" customHeight="false" outlineLevel="0" collapsed="false">
      <c r="A13" s="25" t="s">
        <v>43</v>
      </c>
      <c r="B13" s="25" t="n">
        <v>28</v>
      </c>
    </row>
    <row r="14" customFormat="false" ht="15" hidden="false" customHeight="false" outlineLevel="0" collapsed="false">
      <c r="A14" s="25" t="s">
        <v>44</v>
      </c>
      <c r="B14" s="25" t="n">
        <v>16</v>
      </c>
    </row>
    <row r="15" customFormat="false" ht="15" hidden="false" customHeight="false" outlineLevel="0" collapsed="false">
      <c r="A15" s="25" t="s">
        <v>45</v>
      </c>
      <c r="B15" s="25" t="n">
        <v>15</v>
      </c>
    </row>
    <row r="16" customFormat="false" ht="15" hidden="false" customHeight="false" outlineLevel="0" collapsed="false">
      <c r="A16" s="25" t="s">
        <v>46</v>
      </c>
      <c r="B16" s="25" t="n">
        <v>13</v>
      </c>
    </row>
    <row r="17" customFormat="false" ht="15" hidden="false" customHeight="false" outlineLevel="0" collapsed="false">
      <c r="A17" s="25" t="s">
        <v>47</v>
      </c>
      <c r="B17" s="25" t="n">
        <v>9</v>
      </c>
    </row>
    <row r="18" customFormat="false" ht="15" hidden="false" customHeight="false" outlineLevel="0" collapsed="false">
      <c r="A18" s="25" t="s">
        <v>48</v>
      </c>
      <c r="B18" s="25" t="n">
        <v>9</v>
      </c>
    </row>
    <row r="19" customFormat="false" ht="15" hidden="false" customHeight="false" outlineLevel="0" collapsed="false">
      <c r="A19" s="25" t="s">
        <v>49</v>
      </c>
      <c r="B19" s="25" t="n">
        <v>8</v>
      </c>
    </row>
    <row r="20" customFormat="false" ht="15" hidden="false" customHeight="false" outlineLevel="0" collapsed="false">
      <c r="A20" s="25" t="s">
        <v>50</v>
      </c>
      <c r="B20" s="25" t="n">
        <v>1</v>
      </c>
    </row>
    <row r="23" customFormat="false" ht="15" hidden="false" customHeight="false" outlineLevel="0" collapsed="false">
      <c r="A23" s="22" t="s">
        <v>51</v>
      </c>
    </row>
    <row r="24" customFormat="false" ht="30" hidden="false" customHeight="true" outlineLevel="0" collapsed="false">
      <c r="A24" s="23" t="s">
        <v>52</v>
      </c>
      <c r="B24" s="24" t="s">
        <v>40</v>
      </c>
      <c r="C24" s="24" t="s">
        <v>53</v>
      </c>
    </row>
    <row r="25" customFormat="false" ht="15" hidden="false" customHeight="false" outlineLevel="0" collapsed="false">
      <c r="A25" s="25" t="s">
        <v>54</v>
      </c>
      <c r="B25" s="25" t="n">
        <v>54</v>
      </c>
      <c r="C25" s="28" t="n">
        <f aca="false">B25/SUM($B$25:$B$27)</f>
        <v>0.545454545454545</v>
      </c>
    </row>
    <row r="26" customFormat="false" ht="15" hidden="false" customHeight="false" outlineLevel="0" collapsed="false">
      <c r="A26" s="25" t="s">
        <v>55</v>
      </c>
      <c r="B26" s="25" t="n">
        <v>36</v>
      </c>
      <c r="C26" s="28" t="n">
        <f aca="false">B26/SUM($B$25:$B$27)</f>
        <v>0.363636363636364</v>
      </c>
    </row>
    <row r="27" customFormat="false" ht="15" hidden="false" customHeight="false" outlineLevel="0" collapsed="false">
      <c r="A27" s="25" t="s">
        <v>56</v>
      </c>
      <c r="B27" s="25" t="n">
        <v>9</v>
      </c>
      <c r="C27" s="28" t="n">
        <f aca="false">B27/SUM($B$25:$B$27)</f>
        <v>0.0909090909090909</v>
      </c>
    </row>
    <row r="29" customFormat="false" ht="15" hidden="false" customHeight="false" outlineLevel="0" collapsed="false">
      <c r="A29" s="22" t="s">
        <v>57</v>
      </c>
    </row>
    <row r="30" customFormat="false" ht="30" hidden="false" customHeight="true" outlineLevel="0" collapsed="false">
      <c r="A30" s="23" t="s">
        <v>58</v>
      </c>
      <c r="B30" s="24" t="s">
        <v>40</v>
      </c>
    </row>
    <row r="31" customFormat="false" ht="15" hidden="false" customHeight="false" outlineLevel="0" collapsed="false">
      <c r="A31" s="25" t="s">
        <v>59</v>
      </c>
      <c r="B31" s="25" t="n">
        <v>35</v>
      </c>
    </row>
    <row r="32" customFormat="false" ht="15" hidden="false" customHeight="false" outlineLevel="0" collapsed="false">
      <c r="A32" s="25" t="s">
        <v>60</v>
      </c>
      <c r="B32" s="25" t="n">
        <v>14</v>
      </c>
    </row>
    <row r="33" customFormat="false" ht="15" hidden="false" customHeight="false" outlineLevel="0" collapsed="false">
      <c r="A33" s="25" t="s">
        <v>61</v>
      </c>
      <c r="B33" s="25" t="n">
        <v>5</v>
      </c>
    </row>
    <row r="34" customFormat="false" ht="15" hidden="false" customHeight="false" outlineLevel="0" collapsed="false">
      <c r="A34" s="25" t="s">
        <v>62</v>
      </c>
      <c r="B34" s="25" t="n">
        <v>5</v>
      </c>
    </row>
    <row r="35" customFormat="false" ht="15" hidden="false" customHeight="false" outlineLevel="0" collapsed="false">
      <c r="A35" s="25" t="s">
        <v>63</v>
      </c>
      <c r="B35" s="25" t="n">
        <v>4</v>
      </c>
    </row>
    <row r="36" customFormat="false" ht="15" hidden="false" customHeight="false" outlineLevel="0" collapsed="false">
      <c r="A36" s="25" t="s">
        <v>64</v>
      </c>
      <c r="B36" s="25" t="n">
        <v>3</v>
      </c>
    </row>
    <row r="37" customFormat="false" ht="15" hidden="false" customHeight="false" outlineLevel="0" collapsed="false">
      <c r="A37" s="25" t="s">
        <v>65</v>
      </c>
      <c r="B37" s="25" t="n">
        <v>3</v>
      </c>
    </row>
    <row r="38" customFormat="false" ht="15" hidden="false" customHeight="false" outlineLevel="0" collapsed="false">
      <c r="A38" s="25" t="s">
        <v>66</v>
      </c>
      <c r="B38" s="25" t="n">
        <v>2</v>
      </c>
    </row>
    <row r="39" customFormat="false" ht="15" hidden="false" customHeight="false" outlineLevel="0" collapsed="false">
      <c r="A39" s="25" t="s">
        <v>56</v>
      </c>
      <c r="B39" s="25" t="n">
        <v>15</v>
      </c>
    </row>
    <row r="41" customFormat="false" ht="15" hidden="false" customHeight="false" outlineLevel="0" collapsed="false">
      <c r="A41" s="22" t="s">
        <v>67</v>
      </c>
    </row>
    <row r="42" customFormat="false" ht="30" hidden="false" customHeight="true" outlineLevel="0" collapsed="false">
      <c r="A42" s="23" t="s">
        <v>68</v>
      </c>
      <c r="B42" s="24" t="s">
        <v>40</v>
      </c>
      <c r="C42" s="24" t="s">
        <v>53</v>
      </c>
    </row>
    <row r="43" customFormat="false" ht="15" hidden="false" customHeight="false" outlineLevel="0" collapsed="false">
      <c r="A43" s="25" t="s">
        <v>69</v>
      </c>
      <c r="B43" s="25" t="n">
        <v>33</v>
      </c>
      <c r="C43" s="28" t="n">
        <f aca="false">B43/SUM($B$43:$B$47)</f>
        <v>0.333333333333333</v>
      </c>
    </row>
    <row r="44" customFormat="false" ht="15" hidden="false" customHeight="false" outlineLevel="0" collapsed="false">
      <c r="A44" s="25" t="s">
        <v>70</v>
      </c>
      <c r="B44" s="25" t="n">
        <v>30</v>
      </c>
      <c r="C44" s="28" t="n">
        <f aca="false">B44/SUM($B$43:$B$47)</f>
        <v>0.303030303030303</v>
      </c>
    </row>
    <row r="45" customFormat="false" ht="15" hidden="false" customHeight="false" outlineLevel="0" collapsed="false">
      <c r="A45" s="25" t="s">
        <v>71</v>
      </c>
      <c r="B45" s="25" t="n">
        <v>22</v>
      </c>
      <c r="C45" s="28" t="n">
        <f aca="false">B45/SUM($B$43:$B$47)</f>
        <v>0.222222222222222</v>
      </c>
    </row>
    <row r="46" customFormat="false" ht="15" hidden="false" customHeight="false" outlineLevel="0" collapsed="false">
      <c r="A46" s="25" t="s">
        <v>72</v>
      </c>
      <c r="B46" s="25" t="n">
        <v>9</v>
      </c>
      <c r="C46" s="28" t="n">
        <f aca="false">B46/SUM($B$43:$B$47)</f>
        <v>0.0909090909090909</v>
      </c>
    </row>
    <row r="47" customFormat="false" ht="15" hidden="false" customHeight="false" outlineLevel="0" collapsed="false">
      <c r="A47" s="25" t="s">
        <v>73</v>
      </c>
      <c r="B47" s="25" t="n">
        <v>5</v>
      </c>
      <c r="C47" s="28" t="n">
        <f aca="false">B47/SUM($B$43:$B$47)</f>
        <v>0.0505050505050505</v>
      </c>
    </row>
    <row r="48" customFormat="false" ht="15" hidden="false" customHeight="false" outlineLevel="0" collapsed="false">
      <c r="A48" s="29" t="s">
        <v>74</v>
      </c>
    </row>
    <row r="50" customFormat="false" ht="15" hidden="false" customHeight="false" outlineLevel="0" collapsed="false">
      <c r="A50" s="22" t="s">
        <v>75</v>
      </c>
    </row>
    <row r="51" customFormat="false" ht="30" hidden="false" customHeight="true" outlineLevel="0" collapsed="false">
      <c r="A51" s="23" t="s">
        <v>76</v>
      </c>
      <c r="B51" s="24" t="s">
        <v>40</v>
      </c>
      <c r="C51" s="24" t="s">
        <v>77</v>
      </c>
    </row>
    <row r="52" customFormat="false" ht="15" hidden="false" customHeight="false" outlineLevel="0" collapsed="false">
      <c r="A52" s="25" t="n">
        <v>1</v>
      </c>
      <c r="B52" s="25" t="n">
        <v>2</v>
      </c>
      <c r="C52" s="27" t="str">
        <f aca="false">IF(A52&gt;=9,"Promoter",IF(A52&gt;=7,"Passive","Detractor"))</f>
        <v>Detractor</v>
      </c>
    </row>
    <row r="53" customFormat="false" ht="15" hidden="false" customHeight="false" outlineLevel="0" collapsed="false">
      <c r="A53" s="25" t="n">
        <v>2</v>
      </c>
      <c r="B53" s="25" t="n">
        <v>0</v>
      </c>
      <c r="C53" s="27" t="str">
        <f aca="false">IF(A53&gt;=9,"Promoter",IF(A53&gt;=7,"Passive","Detractor"))</f>
        <v>Detractor</v>
      </c>
    </row>
    <row r="54" customFormat="false" ht="15" hidden="false" customHeight="false" outlineLevel="0" collapsed="false">
      <c r="A54" s="25" t="n">
        <v>3</v>
      </c>
      <c r="B54" s="25" t="n">
        <v>0</v>
      </c>
      <c r="C54" s="27" t="str">
        <f aca="false">IF(A54&gt;=9,"Promoter",IF(A54&gt;=7,"Passive","Detractor"))</f>
        <v>Detractor</v>
      </c>
    </row>
    <row r="55" customFormat="false" ht="15" hidden="false" customHeight="false" outlineLevel="0" collapsed="false">
      <c r="A55" s="25" t="n">
        <v>4</v>
      </c>
      <c r="B55" s="25" t="n">
        <v>1</v>
      </c>
      <c r="C55" s="27" t="str">
        <f aca="false">IF(A55&gt;=9,"Promoter",IF(A55&gt;=7,"Passive","Detractor"))</f>
        <v>Detractor</v>
      </c>
    </row>
    <row r="56" customFormat="false" ht="15" hidden="false" customHeight="false" outlineLevel="0" collapsed="false">
      <c r="A56" s="25" t="n">
        <v>5</v>
      </c>
      <c r="B56" s="25" t="n">
        <v>5</v>
      </c>
      <c r="C56" s="27" t="str">
        <f aca="false">IF(A56&gt;=9,"Promoter",IF(A56&gt;=7,"Passive","Detractor"))</f>
        <v>Detractor</v>
      </c>
    </row>
    <row r="57" customFormat="false" ht="15" hidden="false" customHeight="false" outlineLevel="0" collapsed="false">
      <c r="A57" s="25" t="n">
        <v>6</v>
      </c>
      <c r="B57" s="25" t="n">
        <v>5</v>
      </c>
      <c r="C57" s="27" t="str">
        <f aca="false">IF(A57&gt;=9,"Promoter",IF(A57&gt;=7,"Passive","Detractor"))</f>
        <v>Detractor</v>
      </c>
    </row>
    <row r="58" customFormat="false" ht="15" hidden="false" customHeight="false" outlineLevel="0" collapsed="false">
      <c r="A58" s="25" t="n">
        <v>7</v>
      </c>
      <c r="B58" s="25" t="n">
        <v>12</v>
      </c>
      <c r="C58" s="27" t="str">
        <f aca="false">IF(A58&gt;=9,"Promoter",IF(A58&gt;=7,"Passive","Detractor"))</f>
        <v>Passive</v>
      </c>
    </row>
    <row r="59" customFormat="false" ht="15" hidden="false" customHeight="false" outlineLevel="0" collapsed="false">
      <c r="A59" s="25" t="n">
        <v>8</v>
      </c>
      <c r="B59" s="25" t="n">
        <v>22</v>
      </c>
      <c r="C59" s="27" t="str">
        <f aca="false">IF(A59&gt;=9,"Promoter",IF(A59&gt;=7,"Passive","Detractor"))</f>
        <v>Passive</v>
      </c>
    </row>
    <row r="60" customFormat="false" ht="15" hidden="false" customHeight="false" outlineLevel="0" collapsed="false">
      <c r="A60" s="25" t="n">
        <v>9</v>
      </c>
      <c r="B60" s="25" t="n">
        <v>28</v>
      </c>
      <c r="C60" s="27" t="str">
        <f aca="false">IF(A60&gt;=9,"Promoter",IF(A60&gt;=7,"Passive","Detractor"))</f>
        <v>Promoter</v>
      </c>
    </row>
    <row r="61" customFormat="false" ht="15" hidden="false" customHeight="false" outlineLevel="0" collapsed="false">
      <c r="A61" s="25" t="n">
        <v>10</v>
      </c>
      <c r="B61" s="25" t="n">
        <v>24</v>
      </c>
      <c r="C61" s="27" t="str">
        <f aca="false">IF(A61&gt;=9,"Promoter",IF(A61&gt;=7,"Passive","Detractor"))</f>
        <v>Promoter</v>
      </c>
    </row>
    <row r="64" customFormat="false" ht="15" hidden="false" customHeight="false" outlineLevel="0" collapsed="false">
      <c r="A64" s="22" t="s">
        <v>78</v>
      </c>
    </row>
    <row r="65" customFormat="false" ht="30" hidden="false" customHeight="true" outlineLevel="0" collapsed="false">
      <c r="A65" s="23" t="s">
        <v>20</v>
      </c>
      <c r="B65" s="24" t="s">
        <v>21</v>
      </c>
      <c r="C65" s="24" t="s">
        <v>22</v>
      </c>
      <c r="D65" s="24" t="s">
        <v>23</v>
      </c>
      <c r="E65" s="24" t="s">
        <v>3</v>
      </c>
    </row>
    <row r="66" customFormat="false" ht="15" hidden="false" customHeight="false" outlineLevel="0" collapsed="false">
      <c r="A66" s="25" t="s">
        <v>25</v>
      </c>
      <c r="B66" s="30" t="n">
        <v>0.821</v>
      </c>
      <c r="C66" s="31" t="n">
        <f aca="false">K84</f>
        <v>0.888888888888889</v>
      </c>
      <c r="D66" s="31" t="n">
        <f aca="false">K87</f>
        <v>0.911111111111111</v>
      </c>
      <c r="E66" s="30" t="n">
        <v>0.821</v>
      </c>
    </row>
    <row r="67" customFormat="false" ht="15" hidden="false" customHeight="false" outlineLevel="0" collapsed="false">
      <c r="A67" s="25" t="s">
        <v>27</v>
      </c>
      <c r="B67" s="30" t="n">
        <v>0.825</v>
      </c>
      <c r="C67" s="31" t="n">
        <f aca="false">K85</f>
        <v>0.911111111111111</v>
      </c>
      <c r="D67" s="31" t="n">
        <f aca="false">K88</f>
        <v>0.922222222222222</v>
      </c>
      <c r="E67" s="30" t="n">
        <v>0.908</v>
      </c>
    </row>
    <row r="68" customFormat="false" ht="15" hidden="false" customHeight="false" outlineLevel="0" collapsed="false">
      <c r="A68" s="25" t="s">
        <v>29</v>
      </c>
      <c r="B68" s="30" t="n">
        <v>0.858</v>
      </c>
      <c r="C68" s="31" t="n">
        <f aca="false">K86</f>
        <v>0.866666666666667</v>
      </c>
      <c r="D68" s="31" t="n">
        <f aca="false">K89</f>
        <v>0.866666666666667</v>
      </c>
      <c r="E68" s="30" t="n">
        <v>0.856</v>
      </c>
    </row>
    <row r="69" customFormat="false" ht="15" hidden="false" customHeight="false" outlineLevel="0" collapsed="false">
      <c r="A69" s="25" t="s">
        <v>31</v>
      </c>
      <c r="B69" s="31" t="n">
        <f aca="false">AVERAGE(B74:B77)/10</f>
        <v>0.851875</v>
      </c>
      <c r="C69" s="31" t="n">
        <f aca="false">AVERAGE(C74:C77)/10</f>
        <v>0.8778</v>
      </c>
      <c r="D69" s="31" t="n">
        <f aca="false">AVERAGE(D74:D77)/10</f>
        <v>0.752775</v>
      </c>
      <c r="E69" s="31" t="n">
        <f aca="false">AVERAGE(E74:E77)/10</f>
        <v>0.843925</v>
      </c>
    </row>
    <row r="72" customFormat="false" ht="15" hidden="false" customHeight="false" outlineLevel="0" collapsed="false">
      <c r="A72" s="22" t="s">
        <v>79</v>
      </c>
    </row>
    <row r="73" customFormat="false" ht="30" hidden="false" customHeight="true" outlineLevel="0" collapsed="false">
      <c r="A73" s="23" t="s">
        <v>80</v>
      </c>
      <c r="B73" s="24" t="s">
        <v>21</v>
      </c>
      <c r="C73" s="24" t="s">
        <v>22</v>
      </c>
      <c r="D73" s="24" t="s">
        <v>23</v>
      </c>
      <c r="E73" s="24" t="s">
        <v>3</v>
      </c>
    </row>
    <row r="74" customFormat="false" ht="15" hidden="false" customHeight="false" outlineLevel="0" collapsed="false">
      <c r="A74" s="25" t="s">
        <v>81</v>
      </c>
      <c r="B74" s="32" t="n">
        <v>8.6</v>
      </c>
      <c r="C74" s="32" t="n">
        <v>9.111</v>
      </c>
      <c r="D74" s="32" t="n">
        <v>8.222</v>
      </c>
      <c r="E74" s="32" t="n">
        <v>8.606</v>
      </c>
    </row>
    <row r="75" customFormat="false" ht="15" hidden="false" customHeight="false" outlineLevel="0" collapsed="false">
      <c r="A75" s="25" t="s">
        <v>82</v>
      </c>
      <c r="B75" s="32" t="n">
        <v>8.375</v>
      </c>
      <c r="C75" s="32" t="n">
        <v>8.778</v>
      </c>
      <c r="D75" s="32" t="n">
        <v>8.444</v>
      </c>
      <c r="E75" s="32" t="n">
        <v>8.394</v>
      </c>
    </row>
    <row r="76" customFormat="false" ht="15" hidden="false" customHeight="false" outlineLevel="0" collapsed="false">
      <c r="A76" s="25" t="s">
        <v>83</v>
      </c>
      <c r="B76" s="32" t="n">
        <v>8.5625</v>
      </c>
      <c r="C76" s="32" t="n">
        <v>8.667</v>
      </c>
      <c r="D76" s="32" t="n">
        <v>6.889</v>
      </c>
      <c r="E76" s="32" t="n">
        <v>8.414</v>
      </c>
    </row>
    <row r="77" customFormat="false" ht="15" hidden="false" customHeight="false" outlineLevel="0" collapsed="false">
      <c r="A77" s="25" t="s">
        <v>84</v>
      </c>
      <c r="B77" s="32" t="n">
        <v>8.5375</v>
      </c>
      <c r="C77" s="32" t="n">
        <v>8.556</v>
      </c>
      <c r="D77" s="32" t="n">
        <v>6.556</v>
      </c>
      <c r="E77" s="32" t="n">
        <v>8.343</v>
      </c>
    </row>
    <row r="78" customFormat="false" ht="15" hidden="false" customHeight="false" outlineLevel="0" collapsed="false">
      <c r="A78" s="29" t="s">
        <v>85</v>
      </c>
    </row>
    <row r="81" customFormat="false" ht="15" hidden="false" customHeight="false" outlineLevel="0" collapsed="false">
      <c r="A81" s="22" t="s">
        <v>86</v>
      </c>
    </row>
    <row r="82" customFormat="false" ht="15" hidden="false" customHeight="false" outlineLevel="0" collapsed="false">
      <c r="A82" s="29" t="s">
        <v>87</v>
      </c>
    </row>
    <row r="83" customFormat="false" ht="30" hidden="false" customHeight="true" outlineLevel="0" collapsed="false">
      <c r="A83" s="23" t="s">
        <v>88</v>
      </c>
      <c r="B83" s="24" t="s">
        <v>89</v>
      </c>
      <c r="C83" s="24" t="s">
        <v>90</v>
      </c>
      <c r="D83" s="24" t="s">
        <v>91</v>
      </c>
      <c r="E83" s="24" t="s">
        <v>92</v>
      </c>
      <c r="F83" s="24" t="s">
        <v>93</v>
      </c>
      <c r="G83" s="24" t="s">
        <v>94</v>
      </c>
      <c r="H83" s="24" t="s">
        <v>95</v>
      </c>
      <c r="I83" s="24" t="s">
        <v>96</v>
      </c>
      <c r="J83" s="24" t="s">
        <v>97</v>
      </c>
      <c r="K83" s="24" t="s">
        <v>98</v>
      </c>
    </row>
    <row r="84" customFormat="false" ht="15" hidden="false" customHeight="false" outlineLevel="0" collapsed="false">
      <c r="A84" s="25" t="s">
        <v>99</v>
      </c>
      <c r="B84" s="25" t="n">
        <v>10</v>
      </c>
      <c r="C84" s="25" t="n">
        <v>10</v>
      </c>
      <c r="D84" s="25" t="n">
        <v>9</v>
      </c>
      <c r="E84" s="25" t="n">
        <v>8</v>
      </c>
      <c r="F84" s="25" t="n">
        <v>10</v>
      </c>
      <c r="G84" s="25" t="n">
        <v>8</v>
      </c>
      <c r="H84" s="25" t="n">
        <v>8</v>
      </c>
      <c r="I84" s="25" t="n">
        <v>8</v>
      </c>
      <c r="J84" s="25" t="n">
        <v>9</v>
      </c>
      <c r="K84" s="31" t="n">
        <f aca="false">SUM(B84:J84)/(COUNT(B84:J84)*10)</f>
        <v>0.888888888888889</v>
      </c>
    </row>
    <row r="85" customFormat="false" ht="15" hidden="false" customHeight="false" outlineLevel="0" collapsed="false">
      <c r="A85" s="25" t="s">
        <v>100</v>
      </c>
      <c r="B85" s="25" t="n">
        <v>8</v>
      </c>
      <c r="C85" s="25" t="n">
        <v>10</v>
      </c>
      <c r="D85" s="25" t="n">
        <v>10</v>
      </c>
      <c r="E85" s="25" t="n">
        <v>9</v>
      </c>
      <c r="F85" s="25" t="n">
        <v>10</v>
      </c>
      <c r="G85" s="25" t="n">
        <v>8</v>
      </c>
      <c r="H85" s="25" t="n">
        <v>9</v>
      </c>
      <c r="I85" s="25" t="n">
        <v>10</v>
      </c>
      <c r="J85" s="25" t="n">
        <v>8</v>
      </c>
      <c r="K85" s="31" t="n">
        <f aca="false">SUM(B85:J85)/(COUNT(B85:J85)*10)</f>
        <v>0.911111111111111</v>
      </c>
    </row>
    <row r="86" customFormat="false" ht="15" hidden="false" customHeight="false" outlineLevel="0" collapsed="false">
      <c r="A86" s="25" t="s">
        <v>101</v>
      </c>
      <c r="B86" s="25" t="n">
        <v>9</v>
      </c>
      <c r="C86" s="25" t="n">
        <v>10</v>
      </c>
      <c r="D86" s="25" t="n">
        <v>8</v>
      </c>
      <c r="E86" s="25" t="n">
        <v>9</v>
      </c>
      <c r="F86" s="25" t="n">
        <v>9</v>
      </c>
      <c r="G86" s="25" t="n">
        <v>8</v>
      </c>
      <c r="H86" s="25" t="n">
        <v>9</v>
      </c>
      <c r="I86" s="25" t="n">
        <v>9</v>
      </c>
      <c r="J86" s="25" t="n">
        <v>7</v>
      </c>
      <c r="K86" s="31" t="n">
        <f aca="false">SUM(B86:J86)/(COUNT(B86:J86)*10)</f>
        <v>0.866666666666667</v>
      </c>
    </row>
    <row r="87" customFormat="false" ht="15" hidden="false" customHeight="false" outlineLevel="0" collapsed="false">
      <c r="A87" s="25" t="s">
        <v>102</v>
      </c>
      <c r="B87" s="25" t="n">
        <v>8</v>
      </c>
      <c r="C87" s="25" t="n">
        <v>9</v>
      </c>
      <c r="D87" s="25" t="n">
        <v>7</v>
      </c>
      <c r="E87" s="25" t="n">
        <v>9</v>
      </c>
      <c r="F87" s="25" t="n">
        <v>9</v>
      </c>
      <c r="G87" s="25" t="n">
        <v>10</v>
      </c>
      <c r="H87" s="25" t="n">
        <v>10</v>
      </c>
      <c r="I87" s="25" t="n">
        <v>10</v>
      </c>
      <c r="J87" s="25" t="n">
        <v>10</v>
      </c>
      <c r="K87" s="31" t="n">
        <f aca="false">SUM(B87:J87)/(COUNT(B87:J87)*10)</f>
        <v>0.911111111111111</v>
      </c>
    </row>
    <row r="88" customFormat="false" ht="15" hidden="false" customHeight="false" outlineLevel="0" collapsed="false">
      <c r="A88" s="25" t="s">
        <v>103</v>
      </c>
      <c r="B88" s="25" t="n">
        <v>10</v>
      </c>
      <c r="C88" s="25" t="n">
        <v>9</v>
      </c>
      <c r="D88" s="25" t="n">
        <v>8</v>
      </c>
      <c r="E88" s="25" t="n">
        <v>8</v>
      </c>
      <c r="F88" s="25" t="n">
        <v>8</v>
      </c>
      <c r="G88" s="25" t="n">
        <v>10</v>
      </c>
      <c r="H88" s="25" t="n">
        <v>10</v>
      </c>
      <c r="I88" s="25" t="n">
        <v>10</v>
      </c>
      <c r="J88" s="25" t="n">
        <v>10</v>
      </c>
      <c r="K88" s="31" t="n">
        <f aca="false">SUM(B88:J88)/(COUNT(B88:J88)*10)</f>
        <v>0.922222222222222</v>
      </c>
    </row>
    <row r="89" customFormat="false" ht="15" hidden="false" customHeight="false" outlineLevel="0" collapsed="false">
      <c r="A89" s="25" t="s">
        <v>104</v>
      </c>
      <c r="B89" s="25" t="n">
        <v>8</v>
      </c>
      <c r="C89" s="25" t="n">
        <v>8</v>
      </c>
      <c r="D89" s="25" t="n">
        <v>8</v>
      </c>
      <c r="E89" s="25" t="n">
        <v>7</v>
      </c>
      <c r="F89" s="25" t="n">
        <v>8</v>
      </c>
      <c r="G89" s="25" t="n">
        <v>10</v>
      </c>
      <c r="H89" s="25" t="n">
        <v>10</v>
      </c>
      <c r="I89" s="25" t="n">
        <v>9</v>
      </c>
      <c r="J89" s="25" t="n">
        <v>10</v>
      </c>
      <c r="K89" s="31" t="n">
        <f aca="false">SUM(B89:J89)/(COUNT(B89:J89)*10)</f>
        <v>0.866666666666667</v>
      </c>
    </row>
    <row r="91" customFormat="false" ht="15" hidden="false" customHeight="false" outlineLevel="0" collapsed="false">
      <c r="A91" s="29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1" t="s">
        <v>106</v>
      </c>
    </row>
    <row r="3" customFormat="false" ht="15" hidden="false" customHeight="false" outlineLevel="0" collapsed="false">
      <c r="A3" s="33" t="s">
        <v>107</v>
      </c>
      <c r="B3" s="33" t="str">
        <f aca="false">Dashboard!$C$5</f>
        <v>Overall</v>
      </c>
    </row>
    <row r="4" customFormat="false" ht="15" hidden="false" customHeight="false" outlineLevel="0" collapsed="false">
      <c r="A4" s="33"/>
      <c r="B4" s="33"/>
    </row>
    <row r="5" customFormat="false" ht="15" hidden="false" customHeight="false" outlineLevel="0" collapsed="false">
      <c r="A5" s="33" t="s">
        <v>20</v>
      </c>
      <c r="B5" s="33" t="s">
        <v>76</v>
      </c>
    </row>
    <row r="6" customFormat="false" ht="15" hidden="false" customHeight="false" outlineLevel="0" collapsed="false">
      <c r="A6" s="33" t="s">
        <v>25</v>
      </c>
      <c r="B6" s="34" t="n">
        <f aca="false">INDEX(Data!$B$66:$E$66,MATCH($B$3,Data!$B$65:$E$65,0))</f>
        <v>0.821</v>
      </c>
    </row>
    <row r="7" customFormat="false" ht="15" hidden="false" customHeight="false" outlineLevel="0" collapsed="false">
      <c r="A7" s="33" t="s">
        <v>27</v>
      </c>
      <c r="B7" s="34" t="n">
        <f aca="false">INDEX(Data!$B$67:$E$67,MATCH($B$3,Data!$B$65:$E$65,0))</f>
        <v>0.908</v>
      </c>
    </row>
    <row r="8" customFormat="false" ht="15" hidden="false" customHeight="false" outlineLevel="0" collapsed="false">
      <c r="A8" s="33" t="s">
        <v>29</v>
      </c>
      <c r="B8" s="34" t="n">
        <f aca="false">INDEX(Data!$B$68:$E$68,MATCH($B$3,Data!$B$65:$E$65,0))</f>
        <v>0.856</v>
      </c>
    </row>
    <row r="9" customFormat="false" ht="15" hidden="false" customHeight="false" outlineLevel="0" collapsed="false">
      <c r="A9" s="33" t="s">
        <v>31</v>
      </c>
      <c r="B9" s="34" t="n">
        <f aca="false">INDEX(Data!$B$69:$E$69,MATCH($B$3,Data!$B$65:$E$65,0))</f>
        <v>0.843925</v>
      </c>
    </row>
    <row r="10" customFormat="false" ht="15" hidden="false" customHeight="false" outlineLevel="0" collapsed="false">
      <c r="A10" s="33"/>
      <c r="B10" s="33"/>
    </row>
    <row r="11" customFormat="false" ht="15" hidden="false" customHeight="false" outlineLevel="0" collapsed="false">
      <c r="A11" s="33" t="s">
        <v>80</v>
      </c>
      <c r="B11" s="33" t="s">
        <v>108</v>
      </c>
    </row>
    <row r="12" customFormat="false" ht="15" hidden="false" customHeight="false" outlineLevel="0" collapsed="false">
      <c r="A12" s="33" t="s">
        <v>81</v>
      </c>
      <c r="B12" s="35" t="n">
        <f aca="false">INDEX(Data!$B$74:$E$74,MATCH($B$3,Data!$B$73:$E$73,0))</f>
        <v>8.606</v>
      </c>
    </row>
    <row r="13" customFormat="false" ht="15" hidden="false" customHeight="false" outlineLevel="0" collapsed="false">
      <c r="A13" s="33" t="s">
        <v>82</v>
      </c>
      <c r="B13" s="35" t="n">
        <f aca="false">INDEX(Data!$B$75:$E$75,MATCH($B$3,Data!$B$73:$E$73,0))</f>
        <v>8.394</v>
      </c>
    </row>
    <row r="14" customFormat="false" ht="15" hidden="false" customHeight="false" outlineLevel="0" collapsed="false">
      <c r="A14" s="33" t="s">
        <v>83</v>
      </c>
      <c r="B14" s="35" t="n">
        <f aca="false">INDEX(Data!$B$76:$E$76,MATCH($B$3,Data!$B$73:$E$73,0))</f>
        <v>8.414</v>
      </c>
    </row>
    <row r="15" customFormat="false" ht="15" hidden="false" customHeight="false" outlineLevel="0" collapsed="false">
      <c r="A15" s="33" t="s">
        <v>84</v>
      </c>
      <c r="B15" s="35" t="n">
        <f aca="false">INDEX(Data!$B$77:$E$77,MATCH($B$3,Data!$B$73:$E$73,0))</f>
        <v>8.343</v>
      </c>
    </row>
    <row r="16" customFormat="false" ht="15" hidden="false" customHeight="false" outlineLevel="0" collapsed="false">
      <c r="A16" s="33"/>
      <c r="B16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6" t="s">
        <v>109</v>
      </c>
    </row>
    <row r="2" customFormat="false" ht="15" hidden="false" customHeight="false" outlineLevel="0" collapsed="false">
      <c r="A2" s="33" t="s">
        <v>110</v>
      </c>
    </row>
    <row r="3" customFormat="false" ht="15" hidden="false" customHeight="false" outlineLevel="0" collapsed="false">
      <c r="A3" s="33"/>
    </row>
    <row r="4" customFormat="false" ht="15" hidden="false" customHeight="false" outlineLevel="0" collapsed="false">
      <c r="A4" s="22" t="s">
        <v>111</v>
      </c>
    </row>
    <row r="5" customFormat="false" ht="15" hidden="false" customHeight="false" outlineLevel="0" collapsed="false">
      <c r="A5" s="33" t="s">
        <v>112</v>
      </c>
    </row>
    <row r="6" customFormat="false" ht="15" hidden="false" customHeight="false" outlineLevel="0" collapsed="false">
      <c r="A6" s="33"/>
    </row>
    <row r="7" customFormat="false" ht="15" hidden="false" customHeight="false" outlineLevel="0" collapsed="false">
      <c r="A7" s="22" t="s">
        <v>113</v>
      </c>
    </row>
    <row r="8" customFormat="false" ht="15" hidden="false" customHeight="false" outlineLevel="0" collapsed="false">
      <c r="A8" s="33" t="s">
        <v>114</v>
      </c>
    </row>
    <row r="9" customFormat="false" ht="15" hidden="false" customHeight="false" outlineLevel="0" collapsed="false">
      <c r="A9" s="33" t="s">
        <v>115</v>
      </c>
    </row>
    <row r="10" customFormat="false" ht="15" hidden="false" customHeight="false" outlineLevel="0" collapsed="false">
      <c r="A10" s="33" t="s">
        <v>116</v>
      </c>
    </row>
    <row r="11" customFormat="false" ht="15" hidden="false" customHeight="false" outlineLevel="0" collapsed="false">
      <c r="A11" s="33" t="s">
        <v>117</v>
      </c>
    </row>
    <row r="12" customFormat="false" ht="15" hidden="false" customHeight="false" outlineLevel="0" collapsed="false">
      <c r="A12" s="33" t="s">
        <v>118</v>
      </c>
    </row>
    <row r="13" customFormat="false" ht="15" hidden="false" customHeight="false" outlineLevel="0" collapsed="false">
      <c r="A13" s="33" t="s">
        <v>119</v>
      </c>
    </row>
    <row r="14" customFormat="false" ht="15" hidden="false" customHeight="false" outlineLevel="0" collapsed="false">
      <c r="A14" s="33"/>
    </row>
    <row r="15" customFormat="false" ht="15" hidden="false" customHeight="false" outlineLevel="0" collapsed="false">
      <c r="A15" s="22" t="s">
        <v>120</v>
      </c>
    </row>
    <row r="16" customFormat="false" ht="15" hidden="false" customHeight="false" outlineLevel="0" collapsed="false">
      <c r="A16" s="33" t="s">
        <v>121</v>
      </c>
    </row>
    <row r="17" customFormat="false" ht="15" hidden="false" customHeight="false" outlineLevel="0" collapsed="false">
      <c r="A17" s="33" t="s">
        <v>122</v>
      </c>
    </row>
    <row r="18" customFormat="false" ht="15" hidden="false" customHeight="false" outlineLevel="0" collapsed="false">
      <c r="A18" s="33"/>
    </row>
    <row r="19" customFormat="false" ht="15" hidden="false" customHeight="false" outlineLevel="0" collapsed="false">
      <c r="A19" s="21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2026-09-25T15:26:23Z</dcterms:created>
  <dc:creator>openpyxl</dc:creator>
  <dc:description/>
  <dc:language>en-US</dc:language>
  <cp:lastModifiedBy/>
  <dcterms:modified xsi:type="dcterms:W3CDTF">2026-09-25T23:26:25Z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